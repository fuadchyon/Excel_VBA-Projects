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evalogisticsoffice365-my.sharepoint.com/personal/fuad_chyon_cevalogistics_com/Documents/Desktop/Pricing &amp; Procurement/Saved Files/My Implemented work/"/>
    </mc:Choice>
  </mc:AlternateContent>
  <xr:revisionPtr revIDLastSave="0" documentId="8_{8F980363-11B9-4DDC-BA26-D22A4D62DB99}" xr6:coauthVersionLast="47" xr6:coauthVersionMax="47" xr10:uidLastSave="{00000000-0000-0000-0000-000000000000}"/>
  <bookViews>
    <workbookView xWindow="-108" yWindow="-108" windowWidth="23256" windowHeight="12456" activeTab="1" xr2:uid="{9A7B28DA-B155-47A6-8C89-EFA993F454D4}"/>
  </bookViews>
  <sheets>
    <sheet name="Rate Quotation Macro" sheetId="5" r:id="rId1"/>
    <sheet name="INFORMATION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3" i="6" l="1"/>
  <c r="B26" i="6"/>
  <c r="B25" i="6"/>
  <c r="B24" i="6"/>
  <c r="C13" i="5" l="1"/>
</calcChain>
</file>

<file path=xl/sharedStrings.xml><?xml version="1.0" encoding="utf-8"?>
<sst xmlns="http://schemas.openxmlformats.org/spreadsheetml/2006/main" count="66" uniqueCount="59">
  <si>
    <t>Incoterms</t>
  </si>
  <si>
    <t>Commodity</t>
  </si>
  <si>
    <t>Pick-up Address</t>
  </si>
  <si>
    <t>Target Rate</t>
  </si>
  <si>
    <t>POL</t>
  </si>
  <si>
    <t>POD</t>
  </si>
  <si>
    <t>DG Good/ Non- DG Good</t>
  </si>
  <si>
    <t>Quotation No</t>
  </si>
  <si>
    <t>Quotation Ref.</t>
  </si>
  <si>
    <t>Shipment Type</t>
  </si>
  <si>
    <t>LCL Shipment</t>
  </si>
  <si>
    <t>FCL Shipment</t>
  </si>
  <si>
    <t>Roy, Rajesh</t>
  </si>
  <si>
    <t>Sharfuddin, Al-Faruque MD</t>
  </si>
  <si>
    <t>Haque, Asiful</t>
  </si>
  <si>
    <t>Rabbi, Maksud</t>
  </si>
  <si>
    <t>Shipment Mode</t>
  </si>
  <si>
    <t>EXW:Ex-works</t>
  </si>
  <si>
    <t>FCA:Free carrier</t>
  </si>
  <si>
    <t>FAS:Free Alongside Ship</t>
  </si>
  <si>
    <t>FOB:Free On Board</t>
  </si>
  <si>
    <t>CPT:Carriage Paid To</t>
  </si>
  <si>
    <t>CIP:Carriage And Insurance Paid To</t>
  </si>
  <si>
    <t>CIF:Cost, Insurance and Freight</t>
  </si>
  <si>
    <t>CFR:Cost and Freight</t>
  </si>
  <si>
    <t>DAP:Delivered At Place</t>
  </si>
  <si>
    <t>DPU:Delivered At Place Unloaded</t>
  </si>
  <si>
    <t>DDP:Delivered Duty Paid</t>
  </si>
  <si>
    <t>Quotation Date</t>
  </si>
  <si>
    <t>AIR Shipment-IMPORT</t>
  </si>
  <si>
    <t>AIR Shipment-EXPORT</t>
  </si>
  <si>
    <t>OCEAN Shipment-IMPORT</t>
  </si>
  <si>
    <t>OCEAN Shipment-EXPORT</t>
  </si>
  <si>
    <t>Container Type</t>
  </si>
  <si>
    <t>Equipment Type</t>
  </si>
  <si>
    <t>General Purpose (GP)</t>
  </si>
  <si>
    <t>Flat rack container</t>
  </si>
  <si>
    <t>Open top container (OT)</t>
  </si>
  <si>
    <t>Reefer container</t>
  </si>
  <si>
    <t>Flex tank containers</t>
  </si>
  <si>
    <t>40 ft HQ</t>
  </si>
  <si>
    <t>20 ft</t>
  </si>
  <si>
    <t>40 ft</t>
  </si>
  <si>
    <t>20ft &amp; 40ft</t>
  </si>
  <si>
    <t>20ft &amp; 40ft HQ</t>
  </si>
  <si>
    <t>20ft, 40ft &amp; 40ft HQ</t>
  </si>
  <si>
    <t>DG Goods</t>
  </si>
  <si>
    <t>Non-DG Goods</t>
  </si>
  <si>
    <t>Shipment Informations for Rate Quotation</t>
  </si>
  <si>
    <t>No. of Equipment</t>
  </si>
  <si>
    <t>MSDS Attached</t>
  </si>
  <si>
    <t>Infomations</t>
  </si>
  <si>
    <t xml:space="preserve">MSDS </t>
  </si>
  <si>
    <t>Yes</t>
  </si>
  <si>
    <t>No</t>
  </si>
  <si>
    <t>Submitted by,</t>
  </si>
  <si>
    <t>Free Text</t>
  </si>
  <si>
    <t>Backend Informations</t>
  </si>
  <si>
    <t>Formula Ref. 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</si>
</sst>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d\-mmm\-yy;@"/>
    <numFmt numFmtId="165" formatCode="_([$USD]\ * #,##0_);_([$USD]\ * \(#,##0\);_([$USD]\ * &quot;-&quot;_);_(@_)"/>
    <numFmt numFmtId="166" formatCode="[$USD]\ #,##0"/>
  </numFmts>
  <fonts count="11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theme="1"/>
      <name val="Times New Roman"/>
      <family val="1"/>
    </font>
    <font>
      <u/>
      <sz val="11"/>
      <color theme="10"/>
      <name val="Times New Roman"/>
      <family val="1"/>
    </font>
    <font>
      <sz val="11"/>
      <color theme="0"/>
      <name val="Times New Roman"/>
      <family val="1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sz val="8"/>
      <color rgb="FF111827"/>
      <name val="Ubuntu Mono"/>
      <family val="3"/>
    </font>
  </fonts>
  <fills count="7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4">
    <xf numFmtId="0" fontId="0" fillId="0" borderId="0" xfId="0"/>
    <xf numFmtId="0" fontId="1" fillId="0" borderId="1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164" fontId="2" fillId="3" borderId="13" xfId="0" applyNumberFormat="1" applyFont="1" applyFill="1" applyBorder="1" applyAlignment="1">
      <alignment horizontal="right" vertical="center"/>
    </xf>
    <xf numFmtId="14" fontId="2" fillId="0" borderId="0" xfId="0" applyNumberFormat="1" applyFont="1" applyAlignment="1">
      <alignment horizontal="right" vertical="center"/>
    </xf>
    <xf numFmtId="0" fontId="5" fillId="0" borderId="0" xfId="0" applyFont="1" applyAlignment="1">
      <alignment vertical="center"/>
    </xf>
    <xf numFmtId="0" fontId="7" fillId="2" borderId="1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6" fillId="0" borderId="13" xfId="1" applyFont="1" applyBorder="1" applyAlignment="1">
      <alignment vertical="center"/>
    </xf>
    <xf numFmtId="0" fontId="2" fillId="3" borderId="14" xfId="0" applyFont="1" applyFill="1" applyBorder="1" applyAlignment="1" applyProtection="1">
      <alignment horizontal="right" vertical="center"/>
      <protection locked="0"/>
    </xf>
    <xf numFmtId="0" fontId="2" fillId="3" borderId="13" xfId="0" applyFont="1" applyFill="1" applyBorder="1" applyAlignment="1" applyProtection="1">
      <alignment horizontal="right" vertical="center"/>
      <protection locked="0"/>
    </xf>
    <xf numFmtId="0" fontId="2" fillId="3" borderId="2" xfId="0" applyFont="1" applyFill="1" applyBorder="1" applyAlignment="1" applyProtection="1">
      <alignment horizontal="right" vertical="center"/>
      <protection locked="0"/>
    </xf>
    <xf numFmtId="0" fontId="2" fillId="3" borderId="4" xfId="0" applyFont="1" applyFill="1" applyBorder="1" applyAlignment="1" applyProtection="1">
      <alignment horizontal="right" vertical="center"/>
      <protection locked="0"/>
    </xf>
    <xf numFmtId="164" fontId="2" fillId="3" borderId="4" xfId="0" applyNumberFormat="1" applyFont="1" applyFill="1" applyBorder="1" applyAlignment="1" applyProtection="1">
      <alignment horizontal="right" vertical="center"/>
      <protection locked="0"/>
    </xf>
    <xf numFmtId="0" fontId="2" fillId="3" borderId="10" xfId="0" applyFont="1" applyFill="1" applyBorder="1" applyAlignment="1" applyProtection="1">
      <alignment horizontal="right" vertical="center"/>
      <protection locked="0"/>
    </xf>
    <xf numFmtId="165" fontId="2" fillId="3" borderId="6" xfId="0" applyNumberFormat="1" applyFont="1" applyFill="1" applyBorder="1" applyAlignment="1" applyProtection="1">
      <alignment horizontal="right" vertical="center"/>
      <protection locked="0"/>
    </xf>
    <xf numFmtId="0" fontId="2" fillId="0" borderId="11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165" fontId="2" fillId="3" borderId="4" xfId="0" applyNumberFormat="1" applyFont="1" applyFill="1" applyBorder="1" applyAlignment="1" applyProtection="1">
      <alignment vertical="center"/>
      <protection locked="0"/>
    </xf>
    <xf numFmtId="0" fontId="5" fillId="0" borderId="13" xfId="1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 applyProtection="1">
      <alignment vertical="center"/>
      <protection locked="0"/>
    </xf>
    <xf numFmtId="166" fontId="2" fillId="3" borderId="4" xfId="0" applyNumberFormat="1" applyFont="1" applyFill="1" applyBorder="1" applyAlignment="1" applyProtection="1">
      <alignment horizontal="right" vertical="center"/>
      <protection locked="0"/>
    </xf>
    <xf numFmtId="0" fontId="2" fillId="3" borderId="13" xfId="0" applyFont="1" applyFill="1" applyBorder="1" applyAlignment="1">
      <alignment horizontal="right" vertical="center"/>
    </xf>
    <xf numFmtId="0" fontId="10" fillId="0" borderId="0" xfId="0" applyFont="1"/>
    <xf numFmtId="0" fontId="5" fillId="6" borderId="0" xfId="0" applyFont="1" applyFill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</xdr:colOff>
      <xdr:row>7</xdr:row>
      <xdr:rowOff>60960</xdr:rowOff>
    </xdr:from>
    <xdr:to>
      <xdr:col>11</xdr:col>
      <xdr:colOff>594360</xdr:colOff>
      <xdr:row>9</xdr:row>
      <xdr:rowOff>144780</xdr:rowOff>
    </xdr:to>
    <xdr:sp macro="[0]!Clear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B49B9DA-CAC7-3944-F16F-FB01D50DF6E9}"/>
            </a:ext>
          </a:extLst>
        </xdr:cNvPr>
        <xdr:cNvSpPr/>
      </xdr:nvSpPr>
      <xdr:spPr>
        <a:xfrm>
          <a:off x="11597640" y="1501140"/>
          <a:ext cx="1173480" cy="48768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Verdana" panose="020B0604030504040204" pitchFamily="34" charset="0"/>
              <a:ea typeface="Verdana" panose="020B0604030504040204" pitchFamily="34" charset="0"/>
            </a:rPr>
            <a:t>CLEAR Data</a:t>
          </a:r>
        </a:p>
      </xdr:txBody>
    </xdr:sp>
    <xdr:clientData/>
  </xdr:twoCellAnchor>
  <xdr:twoCellAnchor>
    <xdr:from>
      <xdr:col>10</xdr:col>
      <xdr:colOff>38100</xdr:colOff>
      <xdr:row>11</xdr:row>
      <xdr:rowOff>45720</xdr:rowOff>
    </xdr:from>
    <xdr:to>
      <xdr:col>11</xdr:col>
      <xdr:colOff>579120</xdr:colOff>
      <xdr:row>13</xdr:row>
      <xdr:rowOff>160019</xdr:rowOff>
    </xdr:to>
    <xdr:sp macro="[0]!sendmai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94A5922-F53C-0A01-8061-400E552689B1}"/>
            </a:ext>
          </a:extLst>
        </xdr:cNvPr>
        <xdr:cNvSpPr/>
      </xdr:nvSpPr>
      <xdr:spPr>
        <a:xfrm>
          <a:off x="10934700" y="2286000"/>
          <a:ext cx="1150620" cy="510539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  <a:latin typeface="Verdana" panose="020B0604030504040204" pitchFamily="34" charset="0"/>
              <a:ea typeface="Verdana" panose="020B0604030504040204" pitchFamily="34" charset="0"/>
            </a:rPr>
            <a:t>SEND</a:t>
          </a:r>
          <a:r>
            <a:rPr lang="en-US" sz="1200" b="1" baseline="0">
              <a:solidFill>
                <a:srgbClr val="FFFF00"/>
              </a:solidFill>
              <a:latin typeface="Verdana" panose="020B0604030504040204" pitchFamily="34" charset="0"/>
              <a:ea typeface="Verdana" panose="020B0604030504040204" pitchFamily="34" charset="0"/>
            </a:rPr>
            <a:t> Mail</a:t>
          </a:r>
          <a:endParaRPr lang="en-US" sz="1200" b="1">
            <a:solidFill>
              <a:srgbClr val="FFFF00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twoCellAnchor>
    <xdr:from>
      <xdr:col>1</xdr:col>
      <xdr:colOff>15240</xdr:colOff>
      <xdr:row>1</xdr:row>
      <xdr:rowOff>15240</xdr:rowOff>
    </xdr:from>
    <xdr:to>
      <xdr:col>2</xdr:col>
      <xdr:colOff>784860</xdr:colOff>
      <xdr:row>4</xdr:row>
      <xdr:rowOff>190500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49DE61AE-A6CA-0502-9EF7-AA51FAF89A93}"/>
            </a:ext>
          </a:extLst>
        </xdr:cNvPr>
        <xdr:cNvSpPr/>
      </xdr:nvSpPr>
      <xdr:spPr>
        <a:xfrm>
          <a:off x="624840" y="220980"/>
          <a:ext cx="1844040" cy="76962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EA92F-2652-408F-892E-BF4CCFBDC448}">
  <sheetPr codeName="Sheet1">
    <tabColor theme="4" tint="-0.499984740745262"/>
  </sheetPr>
  <dimension ref="B2:L20"/>
  <sheetViews>
    <sheetView workbookViewId="0">
      <selection activeCell="B9" sqref="B9"/>
    </sheetView>
  </sheetViews>
  <sheetFormatPr defaultRowHeight="15.6" x14ac:dyDescent="0.3"/>
  <cols>
    <col min="1" max="1" width="8.88671875" style="4"/>
    <col min="2" max="2" width="15.6640625" style="4" bestFit="1" customWidth="1"/>
    <col min="3" max="3" width="26.44140625" style="5" bestFit="1" customWidth="1"/>
    <col min="4" max="4" width="2.88671875" style="4" customWidth="1"/>
    <col min="5" max="5" width="16.33203125" style="4" bestFit="1" customWidth="1"/>
    <col min="6" max="6" width="28.6640625" style="5" bestFit="1" customWidth="1"/>
    <col min="7" max="7" width="2.33203125" style="4" customWidth="1"/>
    <col min="8" max="8" width="25.77734375" style="4" bestFit="1" customWidth="1"/>
    <col min="9" max="9" width="23" style="5" bestFit="1" customWidth="1"/>
    <col min="10" max="16384" width="8.88671875" style="4"/>
  </cols>
  <sheetData>
    <row r="2" spans="2:12" x14ac:dyDescent="0.3">
      <c r="C2" s="4"/>
      <c r="F2" s="4"/>
      <c r="I2" s="4"/>
    </row>
    <row r="3" spans="2:12" x14ac:dyDescent="0.3">
      <c r="C3" s="4"/>
      <c r="F3" s="4"/>
      <c r="I3" s="4"/>
    </row>
    <row r="4" spans="2:12" x14ac:dyDescent="0.3">
      <c r="C4" s="4"/>
      <c r="F4" s="4"/>
      <c r="I4" s="4"/>
    </row>
    <row r="5" spans="2:12" x14ac:dyDescent="0.3">
      <c r="C5" s="4"/>
      <c r="F5" s="4"/>
      <c r="I5" s="4"/>
    </row>
    <row r="7" spans="2:12" ht="18.600000000000001" thickBot="1" x14ac:dyDescent="0.35">
      <c r="B7" s="43" t="s">
        <v>48</v>
      </c>
      <c r="C7" s="43"/>
      <c r="D7" s="43"/>
      <c r="E7" s="43"/>
      <c r="F7" s="43"/>
      <c r="G7" s="43"/>
      <c r="H7" s="43"/>
      <c r="I7" s="44"/>
    </row>
    <row r="8" spans="2:12" ht="16.2" thickBot="1" x14ac:dyDescent="0.35">
      <c r="B8" s="45"/>
      <c r="C8" s="46"/>
      <c r="D8" s="46"/>
      <c r="E8" s="47"/>
      <c r="F8" s="47"/>
      <c r="G8" s="46"/>
      <c r="H8" s="46"/>
      <c r="I8" s="48"/>
      <c r="K8" s="37"/>
      <c r="L8" s="38"/>
    </row>
    <row r="9" spans="2:12" x14ac:dyDescent="0.3">
      <c r="B9" s="1" t="s">
        <v>16</v>
      </c>
      <c r="C9" s="13"/>
      <c r="D9" s="49"/>
      <c r="E9" s="1" t="s">
        <v>4</v>
      </c>
      <c r="F9" s="15"/>
      <c r="G9" s="38"/>
      <c r="H9" s="1" t="s">
        <v>33</v>
      </c>
      <c r="I9" s="15"/>
      <c r="K9" s="39"/>
      <c r="L9" s="40"/>
    </row>
    <row r="10" spans="2:12" ht="16.2" thickBot="1" x14ac:dyDescent="0.35">
      <c r="B10" s="2" t="s">
        <v>9</v>
      </c>
      <c r="C10" s="14"/>
      <c r="D10" s="50"/>
      <c r="E10" s="2" t="s">
        <v>5</v>
      </c>
      <c r="F10" s="16"/>
      <c r="G10" s="40"/>
      <c r="H10" s="2" t="s">
        <v>34</v>
      </c>
      <c r="I10" s="16"/>
      <c r="K10" s="41"/>
      <c r="L10" s="42"/>
    </row>
    <row r="11" spans="2:12" ht="16.2" thickBot="1" x14ac:dyDescent="0.35">
      <c r="B11" s="2" t="s">
        <v>7</v>
      </c>
      <c r="C11" s="28"/>
      <c r="D11" s="50"/>
      <c r="E11" s="2" t="s">
        <v>0</v>
      </c>
      <c r="F11" s="16"/>
      <c r="G11" s="40"/>
      <c r="H11" s="2" t="s">
        <v>49</v>
      </c>
      <c r="I11" s="18"/>
    </row>
    <row r="12" spans="2:12" x14ac:dyDescent="0.3">
      <c r="B12" s="2" t="s">
        <v>55</v>
      </c>
      <c r="C12" s="14"/>
      <c r="D12" s="50"/>
      <c r="E12" s="2" t="s">
        <v>2</v>
      </c>
      <c r="F12" s="17"/>
      <c r="G12" s="40"/>
      <c r="H12" s="2" t="s">
        <v>3</v>
      </c>
      <c r="I12" s="27"/>
      <c r="K12" s="37"/>
      <c r="L12" s="38"/>
    </row>
    <row r="13" spans="2:12" x14ac:dyDescent="0.3">
      <c r="B13" s="2" t="s">
        <v>28</v>
      </c>
      <c r="C13" s="6">
        <f ca="1">TODAY()</f>
        <v>45063</v>
      </c>
      <c r="D13" s="50"/>
      <c r="E13" s="2" t="s">
        <v>1</v>
      </c>
      <c r="F13" s="23"/>
      <c r="G13" s="40"/>
      <c r="H13" s="2" t="s">
        <v>6</v>
      </c>
      <c r="I13" s="16"/>
      <c r="K13" s="39"/>
      <c r="L13" s="40"/>
    </row>
    <row r="14" spans="2:12" ht="16.2" thickBot="1" x14ac:dyDescent="0.35">
      <c r="B14" s="20"/>
      <c r="C14" s="21"/>
      <c r="D14" s="21"/>
      <c r="E14" s="25"/>
      <c r="F14" s="26"/>
      <c r="G14" s="22"/>
      <c r="H14" s="3" t="s">
        <v>50</v>
      </c>
      <c r="I14" s="19"/>
      <c r="K14" s="41"/>
      <c r="L14" s="42"/>
    </row>
    <row r="15" spans="2:12" ht="16.2" thickBot="1" x14ac:dyDescent="0.35">
      <c r="F15" s="7"/>
    </row>
    <row r="16" spans="2:12" x14ac:dyDescent="0.3">
      <c r="B16" s="31" t="s">
        <v>56</v>
      </c>
      <c r="C16" s="32"/>
    </row>
    <row r="17" spans="2:8" x14ac:dyDescent="0.3">
      <c r="B17" s="33"/>
      <c r="C17" s="34"/>
    </row>
    <row r="18" spans="2:8" x14ac:dyDescent="0.3">
      <c r="B18" s="33"/>
      <c r="C18" s="34"/>
    </row>
    <row r="19" spans="2:8" x14ac:dyDescent="0.25">
      <c r="B19" s="33"/>
      <c r="C19" s="34"/>
      <c r="H19" s="29"/>
    </row>
    <row r="20" spans="2:8" ht="16.2" thickBot="1" x14ac:dyDescent="0.35">
      <c r="B20" s="35"/>
      <c r="C20" s="36"/>
    </row>
  </sheetData>
  <dataConsolidate/>
  <mergeCells count="8">
    <mergeCell ref="B16:C16"/>
    <mergeCell ref="B17:C20"/>
    <mergeCell ref="K8:L10"/>
    <mergeCell ref="K12:L14"/>
    <mergeCell ref="B7:I7"/>
    <mergeCell ref="B8:I8"/>
    <mergeCell ref="D9:D13"/>
    <mergeCell ref="G9:G13"/>
  </mergeCells>
  <conditionalFormatting sqref="C13">
    <cfRule type="expression" dxfId="16" priority="17">
      <formula>$C$13&lt;&gt;""</formula>
    </cfRule>
  </conditionalFormatting>
  <conditionalFormatting sqref="C9">
    <cfRule type="expression" dxfId="15" priority="16">
      <formula>$C$9&lt;&gt;""</formula>
    </cfRule>
  </conditionalFormatting>
  <conditionalFormatting sqref="C10">
    <cfRule type="expression" dxfId="14" priority="15">
      <formula>$C$10&lt;&gt;""</formula>
    </cfRule>
  </conditionalFormatting>
  <conditionalFormatting sqref="C11">
    <cfRule type="expression" dxfId="13" priority="14">
      <formula>$C$11&lt;&gt;""</formula>
    </cfRule>
  </conditionalFormatting>
  <conditionalFormatting sqref="C12">
    <cfRule type="expression" dxfId="12" priority="13">
      <formula>$C$12&lt;&gt;""</formula>
    </cfRule>
  </conditionalFormatting>
  <conditionalFormatting sqref="F9">
    <cfRule type="expression" dxfId="11" priority="12">
      <formula>$F$9&lt;&gt;""</formula>
    </cfRule>
  </conditionalFormatting>
  <conditionalFormatting sqref="F10">
    <cfRule type="expression" dxfId="10" priority="11">
      <formula>$F$10&lt;&gt;""</formula>
    </cfRule>
  </conditionalFormatting>
  <conditionalFormatting sqref="F11">
    <cfRule type="expression" dxfId="9" priority="10">
      <formula>$F$11&lt;&gt;""</formula>
    </cfRule>
  </conditionalFormatting>
  <conditionalFormatting sqref="F12">
    <cfRule type="expression" dxfId="8" priority="9">
      <formula>$F$12&lt;&gt;""</formula>
    </cfRule>
  </conditionalFormatting>
  <conditionalFormatting sqref="F13">
    <cfRule type="expression" dxfId="7" priority="8">
      <formula>$F$13&lt;&gt;""</formula>
    </cfRule>
  </conditionalFormatting>
  <conditionalFormatting sqref="I9">
    <cfRule type="expression" dxfId="6" priority="7">
      <formula>$I$9&lt;&gt;""</formula>
    </cfRule>
  </conditionalFormatting>
  <conditionalFormatting sqref="I10">
    <cfRule type="expression" dxfId="5" priority="6">
      <formula>$I$10&lt;&gt;""</formula>
    </cfRule>
  </conditionalFormatting>
  <conditionalFormatting sqref="I11">
    <cfRule type="expression" dxfId="4" priority="5">
      <formula>$I$11&lt;&gt;""</formula>
    </cfRule>
  </conditionalFormatting>
  <conditionalFormatting sqref="I12">
    <cfRule type="expression" dxfId="3" priority="4">
      <formula>$I$12&lt;&gt;""</formula>
    </cfRule>
  </conditionalFormatting>
  <conditionalFormatting sqref="I13">
    <cfRule type="expression" dxfId="2" priority="3">
      <formula>$I$13&lt;&gt;""</formula>
    </cfRule>
  </conditionalFormatting>
  <conditionalFormatting sqref="F14">
    <cfRule type="expression" dxfId="1" priority="2">
      <formula>$F$14&lt;&gt;""</formula>
    </cfRule>
  </conditionalFormatting>
  <conditionalFormatting sqref="I14">
    <cfRule type="expression" dxfId="0" priority="1">
      <formula>$I$14&lt;&gt;""</formula>
    </cfRule>
  </conditionalFormatting>
  <dataValidations count="1">
    <dataValidation showInputMessage="1" showErrorMessage="1" errorTitle="Error" error="You must sent a mail address for sending the mail" promptTitle="Please select" sqref="F3" xr:uid="{5C87142A-2922-471D-8BC2-681D789B5B8E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Error" error="Please select your name from the list." promptTitle="Please Select" xr:uid="{213D5CBB-51FF-488C-9F16-83B51C6D1E06}">
          <x14:formula1>
            <xm:f>INFORMATION!$D$7:$D$10</xm:f>
          </x14:formula1>
          <xm:sqref>C12</xm:sqref>
        </x14:dataValidation>
        <x14:dataValidation type="list" showInputMessage="1" showErrorMessage="1" errorTitle="Error" error="Must select from the list" promptTitle="Please Select" xr:uid="{570FF878-E945-4D7D-B57C-061C7A311DD7}">
          <x14:formula1>
            <xm:f>INFORMATION!$C$7:$C$8</xm:f>
          </x14:formula1>
          <xm:sqref>C10</xm:sqref>
        </x14:dataValidation>
        <x14:dataValidation type="list" showInputMessage="1" showErrorMessage="1" errorTitle="Error" error="Must select Incoterms from the drop down list" promptTitle="Please Select" prompt="Mandatory, must be filled" xr:uid="{E47F863A-73E9-4B76-9054-EB10FE5B7113}">
          <x14:formula1>
            <xm:f>INFORMATION!$E$7:$E$17</xm:f>
          </x14:formula1>
          <xm:sqref>F11</xm:sqref>
        </x14:dataValidation>
        <x14:dataValidation type="list" showInputMessage="1" showErrorMessage="1" errorTitle="Error" error="Please select from the list" promptTitle="Please Select" xr:uid="{0FF11CA8-F8E9-4461-8A74-1739A8A08014}">
          <x14:formula1>
            <xm:f>INFORMATION!$B$7:$B$10</xm:f>
          </x14:formula1>
          <xm:sqref>C9</xm:sqref>
        </x14:dataValidation>
        <x14:dataValidation type="list" showInputMessage="1" showErrorMessage="1" promptTitle="Please Select" xr:uid="{F471C7A1-F005-4F5F-9E29-C35FEDB9B1A2}">
          <x14:formula1>
            <xm:f>INFORMATION!$F$7:$F$11</xm:f>
          </x14:formula1>
          <xm:sqref>I9</xm:sqref>
        </x14:dataValidation>
        <x14:dataValidation type="list" showInputMessage="1" showErrorMessage="1" errorTitle="Error" error="Declare is it DG or non-DG" promptTitle="Please Select" xr:uid="{E8D9F5B4-7994-4834-8085-9BD71813AF41}">
          <x14:formula1>
            <xm:f>INFORMATION!$I$7:$I$8</xm:f>
          </x14:formula1>
          <xm:sqref>I13</xm:sqref>
        </x14:dataValidation>
        <x14:dataValidation type="list" allowBlank="1" showInputMessage="1" showErrorMessage="1" errorTitle="Error" error="Please enter a value from the list" promptTitle="Please Select" xr:uid="{777F11ED-77FF-4867-AC3E-6DDCF2FA63F8}">
          <x14:formula1>
            <xm:f>INFORMATION!$G$7:$G$12</xm:f>
          </x14:formula1>
          <xm:sqref>I10</xm:sqref>
        </x14:dataValidation>
        <x14:dataValidation type="list" allowBlank="1" showInputMessage="1" showErrorMessage="1" errorTitle="Error" error="Please select a mail id for sending the mail." promptTitle="Please select" xr:uid="{F72FF86F-3531-4363-A51A-BC36D40722A3}">
          <x14:formula1>
            <xm:f>INFORMATION!$J$7:$J$17</xm:f>
          </x14:formula1>
          <xm:sqref>F4</xm:sqref>
        </x14:dataValidation>
        <x14:dataValidation type="list" showInputMessage="1" showErrorMessage="1" errorTitle="Error" error="Please mention." promptTitle="Please Select" xr:uid="{C561809B-B898-4909-B338-C8E5372AA8C4}">
          <x14:formula1>
            <xm:f>INFORMATION!$J$7:$J$8</xm:f>
          </x14:formula1>
          <xm:sqref>I14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BCB49-F73A-48C5-8BF5-3D3EEAB6D5FD}">
  <sheetPr codeName="Sheet2">
    <tabColor rgb="FF92D050"/>
  </sheetPr>
  <dimension ref="B4:J31"/>
  <sheetViews>
    <sheetView tabSelected="1" workbookViewId="0">
      <selection activeCell="B26" sqref="B26"/>
    </sheetView>
  </sheetViews>
  <sheetFormatPr defaultRowHeight="13.8" x14ac:dyDescent="0.3"/>
  <cols>
    <col min="1" max="1" width="8.88671875" style="8"/>
    <col min="2" max="2" width="22.5546875" style="8" bestFit="1" customWidth="1"/>
    <col min="3" max="3" width="12.88671875" style="8" bestFit="1" customWidth="1"/>
    <col min="4" max="4" width="23" style="8" bestFit="1" customWidth="1"/>
    <col min="5" max="5" width="31.109375" style="8" bestFit="1" customWidth="1"/>
    <col min="6" max="6" width="18.33203125" style="8" bestFit="1" customWidth="1"/>
    <col min="7" max="7" width="17.33203125" style="8" bestFit="1" customWidth="1"/>
    <col min="8" max="8" width="12.6640625" style="8" bestFit="1" customWidth="1"/>
    <col min="9" max="9" width="21.77734375" style="8" bestFit="1" customWidth="1"/>
    <col min="10" max="10" width="29.77734375" style="8" bestFit="1" customWidth="1"/>
    <col min="11" max="16384" width="8.88671875" style="8"/>
  </cols>
  <sheetData>
    <row r="4" spans="2:10" ht="15.6" x14ac:dyDescent="0.3">
      <c r="B4" s="51" t="s">
        <v>51</v>
      </c>
      <c r="C4" s="51"/>
      <c r="D4" s="51"/>
      <c r="E4" s="51"/>
      <c r="F4" s="51"/>
      <c r="G4" s="51"/>
      <c r="H4" s="51"/>
      <c r="I4" s="51"/>
      <c r="J4" s="51"/>
    </row>
    <row r="5" spans="2:10" x14ac:dyDescent="0.3">
      <c r="B5" s="52"/>
      <c r="C5" s="52"/>
      <c r="D5" s="52"/>
      <c r="E5" s="52"/>
      <c r="F5" s="52"/>
      <c r="G5" s="52"/>
      <c r="H5" s="52"/>
      <c r="I5" s="52"/>
      <c r="J5" s="52"/>
    </row>
    <row r="6" spans="2:10" s="10" customFormat="1" x14ac:dyDescent="0.3">
      <c r="B6" s="9" t="s">
        <v>16</v>
      </c>
      <c r="C6" s="9" t="s">
        <v>9</v>
      </c>
      <c r="D6" s="9" t="s">
        <v>8</v>
      </c>
      <c r="E6" s="9" t="s">
        <v>0</v>
      </c>
      <c r="F6" s="9" t="s">
        <v>33</v>
      </c>
      <c r="G6" s="9" t="s">
        <v>34</v>
      </c>
      <c r="H6" s="9" t="s">
        <v>1</v>
      </c>
      <c r="I6" s="9" t="s">
        <v>6</v>
      </c>
      <c r="J6" s="9" t="s">
        <v>52</v>
      </c>
    </row>
    <row r="7" spans="2:10" x14ac:dyDescent="0.3">
      <c r="B7" s="11" t="s">
        <v>29</v>
      </c>
      <c r="C7" s="11" t="s">
        <v>10</v>
      </c>
      <c r="D7" s="11" t="s">
        <v>12</v>
      </c>
      <c r="E7" s="11" t="s">
        <v>17</v>
      </c>
      <c r="F7" s="11" t="s">
        <v>35</v>
      </c>
      <c r="G7" s="11" t="s">
        <v>41</v>
      </c>
      <c r="H7" s="11"/>
      <c r="I7" s="11" t="s">
        <v>46</v>
      </c>
      <c r="J7" s="24" t="s">
        <v>53</v>
      </c>
    </row>
    <row r="8" spans="2:10" x14ac:dyDescent="0.3">
      <c r="B8" s="11" t="s">
        <v>30</v>
      </c>
      <c r="C8" s="11" t="s">
        <v>11</v>
      </c>
      <c r="D8" s="11" t="s">
        <v>13</v>
      </c>
      <c r="E8" s="11" t="s">
        <v>18</v>
      </c>
      <c r="F8" s="11" t="s">
        <v>36</v>
      </c>
      <c r="G8" s="11" t="s">
        <v>42</v>
      </c>
      <c r="H8" s="11"/>
      <c r="I8" s="11" t="s">
        <v>47</v>
      </c>
      <c r="J8" s="24" t="s">
        <v>54</v>
      </c>
    </row>
    <row r="9" spans="2:10" x14ac:dyDescent="0.3">
      <c r="B9" s="11" t="s">
        <v>31</v>
      </c>
      <c r="C9" s="11"/>
      <c r="D9" s="11" t="s">
        <v>14</v>
      </c>
      <c r="E9" s="11" t="s">
        <v>19</v>
      </c>
      <c r="F9" s="11" t="s">
        <v>37</v>
      </c>
      <c r="G9" s="11" t="s">
        <v>40</v>
      </c>
      <c r="H9" s="11"/>
      <c r="I9" s="11"/>
      <c r="J9" s="12"/>
    </row>
    <row r="10" spans="2:10" x14ac:dyDescent="0.3">
      <c r="B10" s="11" t="s">
        <v>32</v>
      </c>
      <c r="C10" s="11"/>
      <c r="D10" s="11" t="s">
        <v>15</v>
      </c>
      <c r="E10" s="11" t="s">
        <v>20</v>
      </c>
      <c r="F10" s="11" t="s">
        <v>38</v>
      </c>
      <c r="G10" s="11" t="s">
        <v>43</v>
      </c>
      <c r="H10" s="11"/>
      <c r="I10" s="11"/>
      <c r="J10" s="11"/>
    </row>
    <row r="11" spans="2:10" x14ac:dyDescent="0.3">
      <c r="B11" s="11"/>
      <c r="C11" s="11"/>
      <c r="D11" s="11"/>
      <c r="E11" s="11" t="s">
        <v>21</v>
      </c>
      <c r="F11" s="11" t="s">
        <v>39</v>
      </c>
      <c r="G11" s="11" t="s">
        <v>44</v>
      </c>
      <c r="H11" s="11"/>
      <c r="I11" s="11"/>
      <c r="J11" s="11"/>
    </row>
    <row r="12" spans="2:10" x14ac:dyDescent="0.3">
      <c r="B12" s="11"/>
      <c r="C12" s="11"/>
      <c r="D12" s="11"/>
      <c r="E12" s="11" t="s">
        <v>22</v>
      </c>
      <c r="F12" s="11"/>
      <c r="G12" s="11" t="s">
        <v>45</v>
      </c>
      <c r="H12" s="11"/>
      <c r="I12" s="11"/>
      <c r="J12" s="11"/>
    </row>
    <row r="13" spans="2:10" x14ac:dyDescent="0.3">
      <c r="B13" s="11"/>
      <c r="C13" s="11"/>
      <c r="D13" s="11"/>
      <c r="E13" s="11" t="s">
        <v>23</v>
      </c>
      <c r="F13" s="11"/>
      <c r="G13" s="11"/>
      <c r="H13" s="11"/>
      <c r="I13" s="11"/>
      <c r="J13" s="11"/>
    </row>
    <row r="14" spans="2:10" x14ac:dyDescent="0.3">
      <c r="B14" s="11"/>
      <c r="C14" s="11"/>
      <c r="D14" s="11"/>
      <c r="E14" s="11" t="s">
        <v>24</v>
      </c>
      <c r="F14" s="11"/>
      <c r="G14" s="11"/>
      <c r="H14" s="11"/>
      <c r="I14" s="11"/>
      <c r="J14" s="11"/>
    </row>
    <row r="15" spans="2:10" x14ac:dyDescent="0.3">
      <c r="B15" s="11"/>
      <c r="C15" s="11"/>
      <c r="D15" s="11"/>
      <c r="E15" s="11" t="s">
        <v>25</v>
      </c>
      <c r="F15" s="11"/>
      <c r="G15" s="11"/>
      <c r="H15" s="11"/>
      <c r="I15" s="11"/>
      <c r="J15" s="11"/>
    </row>
    <row r="16" spans="2:10" x14ac:dyDescent="0.3">
      <c r="B16" s="11"/>
      <c r="C16" s="11"/>
      <c r="D16" s="11"/>
      <c r="E16" s="11" t="s">
        <v>26</v>
      </c>
      <c r="F16" s="11"/>
      <c r="G16" s="11"/>
      <c r="H16" s="11"/>
      <c r="I16" s="11"/>
      <c r="J16" s="11"/>
    </row>
    <row r="17" spans="2:10" x14ac:dyDescent="0.3">
      <c r="B17" s="11"/>
      <c r="C17" s="11"/>
      <c r="D17" s="11"/>
      <c r="E17" s="11" t="s">
        <v>27</v>
      </c>
      <c r="F17" s="11"/>
      <c r="G17" s="11"/>
      <c r="H17" s="11"/>
      <c r="I17" s="11"/>
      <c r="J17" s="11"/>
    </row>
    <row r="21" spans="2:10" ht="15.6" x14ac:dyDescent="0.3">
      <c r="B21" s="53" t="s">
        <v>57</v>
      </c>
      <c r="C21" s="53"/>
      <c r="D21" s="53"/>
      <c r="E21" s="53"/>
      <c r="F21" s="53"/>
      <c r="G21" s="53"/>
      <c r="H21" s="53"/>
      <c r="I21" s="53"/>
      <c r="J21" s="53"/>
    </row>
    <row r="22" spans="2:10" x14ac:dyDescent="0.3">
      <c r="B22" s="8" t="s">
        <v>58</v>
      </c>
    </row>
    <row r="23" spans="2:10" x14ac:dyDescent="0.3">
      <c r="B23" s="30" t="str">
        <f>IF('Rate Quotation Macro'!C9 = "AIR Shipment-IMPORT","AI-",0)&amp;ROW()+1</f>
        <v>024</v>
      </c>
    </row>
    <row r="24" spans="2:10" x14ac:dyDescent="0.3">
      <c r="B24" s="30">
        <f>IF('Rate Quotation Macro'!C9 = "AIR Shipment-EXPORT","AE-",0)</f>
        <v>0</v>
      </c>
    </row>
    <row r="25" spans="2:10" x14ac:dyDescent="0.3">
      <c r="B25" s="30">
        <f>IF('Rate Quotation Macro'!C9 = "OCEAN Shipment-IMPORT","OI-",0)</f>
        <v>0</v>
      </c>
    </row>
    <row r="26" spans="2:10" x14ac:dyDescent="0.3">
      <c r="B26" s="30">
        <f>IF('Rate Quotation Macro'!C9 = "OCEAN Shipment-EXPORT","OE-",0)</f>
        <v>0</v>
      </c>
    </row>
    <row r="27" spans="2:10" x14ac:dyDescent="0.3">
      <c r="C27" s="10"/>
    </row>
    <row r="28" spans="2:10" x14ac:dyDescent="0.3">
      <c r="C28" s="10"/>
    </row>
    <row r="29" spans="2:10" x14ac:dyDescent="0.3">
      <c r="C29" s="10"/>
    </row>
    <row r="30" spans="2:10" x14ac:dyDescent="0.3">
      <c r="C30" s="10"/>
    </row>
    <row r="31" spans="2:10" x14ac:dyDescent="0.3">
      <c r="C31" s="10"/>
    </row>
  </sheetData>
  <mergeCells count="3">
    <mergeCell ref="B4:J4"/>
    <mergeCell ref="B5:J5"/>
    <mergeCell ref="B21:J2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Rate Quotation Macro</vt:lpstr>
      <vt:lpstr>INFORMATION</vt:lpstr>
    </vt:vector>
  </TitlesOfParts>
  <Company>CEVA Logistics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Chyon, Fuad</dc:creator>
  <cp:lastModifiedBy>Chyon, Fuad</cp:lastModifiedBy>
  <dcterms:created xsi:type="dcterms:W3CDTF">2022-12-13T18:44:43Z</dcterms:created>
  <dcterms:modified xsi:type="dcterms:W3CDTF">2023-05-17T05:48:33Z</dcterms:modified>
</cp:coreProperties>
</file>